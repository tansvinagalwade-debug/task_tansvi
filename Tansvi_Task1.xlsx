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sk1\"/>
    </mc:Choice>
  </mc:AlternateContent>
  <xr:revisionPtr revIDLastSave="0" documentId="8_{CB2B87D9-3F09-4E06-AC36-526CAD96DFC5}" xr6:coauthVersionLast="47" xr6:coauthVersionMax="47" xr10:uidLastSave="{00000000-0000-0000-0000-000000000000}"/>
  <bookViews>
    <workbookView xWindow="-108" yWindow="-108" windowWidth="23256" windowHeight="12456" xr2:uid="{26E22195-5D0D-469A-8027-5F1063DC0B8D}"/>
  </bookViews>
  <sheets>
    <sheet name="Tansvi_Tas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6" i="1" l="1"/>
  <c r="E3" i="1"/>
  <c r="E5" i="1"/>
  <c r="E7" i="1"/>
  <c r="E9" i="1"/>
  <c r="E11" i="1"/>
  <c r="E13" i="1"/>
  <c r="E14" i="1"/>
  <c r="E15" i="1"/>
  <c r="E16" i="1"/>
  <c r="E17" i="1"/>
  <c r="E19" i="1"/>
  <c r="E20" i="1"/>
  <c r="E21" i="1"/>
  <c r="E22" i="1"/>
  <c r="E23" i="1"/>
  <c r="E25" i="1"/>
  <c r="E26" i="1"/>
  <c r="E27" i="1"/>
  <c r="E28" i="1"/>
  <c r="E29" i="1"/>
  <c r="E31" i="1"/>
  <c r="E32" i="1"/>
  <c r="E33" i="1"/>
  <c r="E34" i="1"/>
  <c r="E35" i="1"/>
  <c r="E37" i="1"/>
  <c r="E38" i="1"/>
  <c r="E39" i="1"/>
  <c r="E40" i="1"/>
  <c r="E41" i="1"/>
  <c r="E43" i="1"/>
  <c r="E44" i="1"/>
  <c r="E45" i="1"/>
  <c r="E46" i="1"/>
  <c r="E47" i="1"/>
  <c r="E49" i="1"/>
  <c r="E50" i="1"/>
  <c r="E51" i="1"/>
  <c r="E52" i="1"/>
  <c r="E53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3" i="1"/>
  <c r="E74" i="1"/>
  <c r="E75" i="1"/>
  <c r="E76" i="1"/>
  <c r="E77" i="1"/>
  <c r="E79" i="1"/>
  <c r="E80" i="1"/>
  <c r="E81" i="1"/>
  <c r="E82" i="1"/>
  <c r="E83" i="1"/>
  <c r="E85" i="1"/>
  <c r="E86" i="1"/>
  <c r="E87" i="1"/>
  <c r="E88" i="1"/>
  <c r="E89" i="1"/>
  <c r="E91" i="1"/>
  <c r="E92" i="1"/>
  <c r="E93" i="1"/>
  <c r="E94" i="1"/>
  <c r="E95" i="1"/>
  <c r="E97" i="1"/>
  <c r="E98" i="1"/>
  <c r="E99" i="1"/>
  <c r="E100" i="1"/>
  <c r="E101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7" i="1"/>
  <c r="E118" i="1"/>
  <c r="E119" i="1"/>
  <c r="E120" i="1"/>
</calcChain>
</file>

<file path=xl/sharedStrings.xml><?xml version="1.0" encoding="utf-8"?>
<sst xmlns="http://schemas.openxmlformats.org/spreadsheetml/2006/main" count="203" uniqueCount="168">
  <si>
    <t>SUBSTITUTE(C120,"a","f",8)</t>
  </si>
  <si>
    <t>DataAnalytics</t>
  </si>
  <si>
    <t>SUBSTITUTE(C119,"a","f",1)</t>
  </si>
  <si>
    <t>SUBSTITUTE(C118,"s","")</t>
  </si>
  <si>
    <t>Tansvi_Nagalwade</t>
  </si>
  <si>
    <t>SUBSTITUTE(C117,"svi","vi")</t>
  </si>
  <si>
    <t>DATAscience</t>
  </si>
  <si>
    <t>SUBSTITUTE(C116, "A", "a")</t>
  </si>
  <si>
    <t>Tansvi-ARC</t>
  </si>
  <si>
    <t>Substitute</t>
  </si>
  <si>
    <t>VALUE($C114)</t>
  </si>
  <si>
    <t>VALUE($C113)</t>
  </si>
  <si>
    <t>VALUE($C112)</t>
  </si>
  <si>
    <t>VALUE($C111)</t>
  </si>
  <si>
    <t>VALUE($C110)</t>
  </si>
  <si>
    <t>Value</t>
  </si>
  <si>
    <t>TRIM($C108)</t>
  </si>
  <si>
    <t xml:space="preserve">  WCEM</t>
  </si>
  <si>
    <t>TRIM($C107)</t>
  </si>
  <si>
    <t>-A R C</t>
  </si>
  <si>
    <t>TRIM($C106)</t>
  </si>
  <si>
    <t xml:space="preserve">  ARC /</t>
  </si>
  <si>
    <t>TRIM($C105)</t>
  </si>
  <si>
    <t xml:space="preserve">   TANVI ..</t>
  </si>
  <si>
    <t>TRIM($C104)</t>
  </si>
  <si>
    <t xml:space="preserve">    Tansvi - ARC</t>
  </si>
  <si>
    <t>Trim</t>
  </si>
  <si>
    <t>TEXTJOIN("_",FALSE,C97:C99)</t>
  </si>
  <si>
    <t>TEXTJOIN(": ",TRUE,"Today's Date ",TEXT(TODAY(),"dd-mmm-yy"))</t>
  </si>
  <si>
    <t>TEXTJOIN("/",TRUE,"NAGPUR","440032")</t>
  </si>
  <si>
    <t>TEXTJOIN(" ",TRUE,C97:C102)</t>
  </si>
  <si>
    <t>ARC</t>
  </si>
  <si>
    <t>TEXTJOIN(":",TRUE,C97:C99)</t>
  </si>
  <si>
    <t>TEXTJOIN("-",TRUE,C97:C99)</t>
  </si>
  <si>
    <t>Tansvi</t>
  </si>
  <si>
    <t>Text Join</t>
  </si>
  <si>
    <t>TEXT(C95,"MMM")</t>
  </si>
  <si>
    <t>TEXT(C94,"0000")</t>
  </si>
  <si>
    <t>TEXT(C93, "000-000-0000")</t>
  </si>
  <si>
    <t>TEXT(C92, "₹#,##0.00")</t>
  </si>
  <si>
    <t>TEXT($C91,"ddd")</t>
  </si>
  <si>
    <t>Text</t>
  </si>
  <si>
    <t>REPT($C89,5)</t>
  </si>
  <si>
    <t>REPT($C88,4)</t>
  </si>
  <si>
    <t>REPT($C87,3)</t>
  </si>
  <si>
    <t>REPT($C86,2)</t>
  </si>
  <si>
    <t>REPT($C85,1)</t>
  </si>
  <si>
    <t>Rept</t>
  </si>
  <si>
    <t>SEARCH("E",$C83)</t>
  </si>
  <si>
    <t>Excel</t>
  </si>
  <si>
    <t>SEARCH("l",$C82,4)</t>
  </si>
  <si>
    <t>College</t>
  </si>
  <si>
    <t>SEARCH("o",$C81,5)</t>
  </si>
  <si>
    <t>School</t>
  </si>
  <si>
    <t>SEARCH("e",$C80)</t>
  </si>
  <si>
    <t>Friend</t>
  </si>
  <si>
    <t>SEARCH("o",$C79,3)</t>
  </si>
  <si>
    <t>Room</t>
  </si>
  <si>
    <t>Search</t>
  </si>
  <si>
    <t>REPLACE($C77,4,4,"")</t>
  </si>
  <si>
    <t>REPLACE($C76,4,1,"***")</t>
  </si>
  <si>
    <t>REPLACE($C75,3,3,"")</t>
  </si>
  <si>
    <t>REPLACE($C74,4,1,"mpartener")</t>
  </si>
  <si>
    <t>REPLACE($C73,4,1,"")</t>
  </si>
  <si>
    <t>Replace</t>
  </si>
  <si>
    <t>PROPER($C71)</t>
  </si>
  <si>
    <t>tanvi</t>
  </si>
  <si>
    <t>PROPER($C70)</t>
  </si>
  <si>
    <t>arc</t>
  </si>
  <si>
    <t>PROPER($C69)</t>
  </si>
  <si>
    <t>tansvi nagalwade</t>
  </si>
  <si>
    <t>PROPER($C68)</t>
  </si>
  <si>
    <t>tanshree</t>
  </si>
  <si>
    <t>PROPER($C67)</t>
  </si>
  <si>
    <t>tansvi-aRC</t>
  </si>
  <si>
    <t>Proper</t>
  </si>
  <si>
    <t>UPPER($C65)</t>
  </si>
  <si>
    <t>arccccc</t>
  </si>
  <si>
    <t>UPPER($C64)</t>
  </si>
  <si>
    <t>8979arc</t>
  </si>
  <si>
    <t>UPPER($C63)</t>
  </si>
  <si>
    <t>tanvi2</t>
  </si>
  <si>
    <t>UPPER($C62)</t>
  </si>
  <si>
    <t>tanu</t>
  </si>
  <si>
    <t>UPPER($C61)</t>
  </si>
  <si>
    <t>tansvi-arc</t>
  </si>
  <si>
    <t>Upper</t>
  </si>
  <si>
    <t>LOWER($C59)</t>
  </si>
  <si>
    <t>Arcccccc</t>
  </si>
  <si>
    <t>LOWER($C58)</t>
  </si>
  <si>
    <t>8979ARC</t>
  </si>
  <si>
    <t>LOWER($C57)</t>
  </si>
  <si>
    <t>TANVI2</t>
  </si>
  <si>
    <t>LOWER($C56)</t>
  </si>
  <si>
    <t>TANU</t>
  </si>
  <si>
    <t>LOWER($C55)</t>
  </si>
  <si>
    <t>TANSVI-ARC</t>
  </si>
  <si>
    <t>Lower</t>
  </si>
  <si>
    <t>MID($C53,1,6)</t>
  </si>
  <si>
    <t>director</t>
  </si>
  <si>
    <t>MID($C52,6,7)</t>
  </si>
  <si>
    <t>photographer</t>
  </si>
  <si>
    <t>MID($C51,1,3)</t>
  </si>
  <si>
    <t>Capture</t>
  </si>
  <si>
    <t>MID($C50,3,1)</t>
  </si>
  <si>
    <t>91-9373****</t>
  </si>
  <si>
    <t>MID($C49,1,6)</t>
  </si>
  <si>
    <t>Mid</t>
  </si>
  <si>
    <t>LEN($C47)</t>
  </si>
  <si>
    <t>T ARC</t>
  </si>
  <si>
    <t>LEN($C46)</t>
  </si>
  <si>
    <t>tanu arc</t>
  </si>
  <si>
    <t>LEN($C45)</t>
  </si>
  <si>
    <t>LEN($C44)</t>
  </si>
  <si>
    <t xml:space="preserve">  Tansvi-ARC</t>
  </si>
  <si>
    <t>LEN($C43)</t>
  </si>
  <si>
    <t>Len</t>
  </si>
  <si>
    <t>RIGHT($C41,9)</t>
  </si>
  <si>
    <t>RIGHT($C40,4)</t>
  </si>
  <si>
    <t>RIGHT($C39,9)</t>
  </si>
  <si>
    <t>RIGHT($C38,7)</t>
  </si>
  <si>
    <t>RIGHT($C37,3)</t>
  </si>
  <si>
    <t>Right</t>
  </si>
  <si>
    <t>LEFT(C35,2)</t>
  </si>
  <si>
    <t>LEFT(C34,8)</t>
  </si>
  <si>
    <t>LEFT(C33,3)</t>
  </si>
  <si>
    <t>LEFT(C32,4)</t>
  </si>
  <si>
    <t>LEFT(C31,6)</t>
  </si>
  <si>
    <t>Left</t>
  </si>
  <si>
    <t>FIND("a",C29,1)</t>
  </si>
  <si>
    <t>FIND("a",C28,5)</t>
  </si>
  <si>
    <t>FIND("N",C27)</t>
  </si>
  <si>
    <t>FIND("A",C26,3)</t>
  </si>
  <si>
    <t>FIND("A",C25)</t>
  </si>
  <si>
    <t>Find</t>
  </si>
  <si>
    <t>EXACT(C23,"Institute")</t>
  </si>
  <si>
    <t>Institute</t>
  </si>
  <si>
    <t>EXACT(C22,"ARC-technology ")</t>
  </si>
  <si>
    <t>ARC-Technology</t>
  </si>
  <si>
    <t>EXACT(C21, "Tansvi ")</t>
  </si>
  <si>
    <t>EXACT(C20, "tansvi-arc")</t>
  </si>
  <si>
    <t>EXACT(C19, "MyPass123")</t>
  </si>
  <si>
    <t>Exact</t>
  </si>
  <si>
    <t>CLEAN(C17)</t>
  </si>
  <si>
    <t>CLEAN(C16)</t>
  </si>
  <si>
    <t>CLEAN(C15)</t>
  </si>
  <si>
    <t>CLEAN(C14)</t>
  </si>
  <si>
    <t>CLEAN(C13)</t>
  </si>
  <si>
    <t>Clean</t>
  </si>
  <si>
    <t>clean</t>
  </si>
  <si>
    <t>CONCAT(C11,C12)</t>
  </si>
  <si>
    <t>Data</t>
  </si>
  <si>
    <t>CONCAT(C9,C10)</t>
  </si>
  <si>
    <t>ARC_</t>
  </si>
  <si>
    <t>no</t>
  </si>
  <si>
    <t>CONCAT(C7,C8)</t>
  </si>
  <si>
    <t>recording_</t>
  </si>
  <si>
    <t>board</t>
  </si>
  <si>
    <t>CONCAT(C5,C6)</t>
  </si>
  <si>
    <t>chart</t>
  </si>
  <si>
    <t>CONCAT(C3,C4)</t>
  </si>
  <si>
    <t>Tansvi-</t>
  </si>
  <si>
    <t>Join/Concat</t>
  </si>
  <si>
    <t>Output</t>
  </si>
  <si>
    <t>Formula</t>
  </si>
  <si>
    <t>Method</t>
  </si>
  <si>
    <r>
      <rPr>
        <b/>
        <u/>
        <sz val="12"/>
        <color rgb="FF1155CC"/>
        <rFont val="Calibri, sans-serif"/>
      </rPr>
      <t>Sr.No</t>
    </r>
    <r>
      <rPr>
        <b/>
        <sz val="12"/>
        <color rgb="FF000000"/>
        <rFont val="Calibri, sans-serif"/>
      </rPr>
      <t>.</t>
    </r>
  </si>
  <si>
    <t>Name:-Tansvi Nagalwade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</si>
</sst>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name val="Arial"/>
    </font>
    <font>
      <b/>
      <sz val="11"/>
      <color rgb="FF000000"/>
      <name val="Calibri"/>
    </font>
    <font>
      <sz val="10"/>
      <color theme="1"/>
      <name val="Aptos Narrow"/>
      <scheme val="minor"/>
    </font>
    <font>
      <sz val="10"/>
      <color rgb="FF000000"/>
      <name val="&quot;Arial Unicode MS&quot;"/>
    </font>
    <font>
      <sz val="10"/>
      <color rgb="FF000000"/>
      <name val="Arial"/>
    </font>
    <font>
      <b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1155CC"/>
      <name val="Calibri, sans-serif"/>
    </font>
    <font>
      <b/>
      <sz val="12"/>
      <color rgb="FF000000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3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8" xfId="0" applyFont="1" applyBorder="1" applyAlignment="1">
      <alignment horizontal="right"/>
    </xf>
    <xf numFmtId="20" fontId="1" fillId="0" borderId="8" xfId="0" applyNumberFormat="1" applyFont="1" applyBorder="1" applyAlignment="1">
      <alignment horizontal="right"/>
    </xf>
    <xf numFmtId="9" fontId="1" fillId="0" borderId="8" xfId="0" applyNumberFormat="1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9" fontId="1" fillId="0" borderId="21" xfId="0" applyNumberFormat="1" applyFont="1" applyBorder="1" applyAlignment="1">
      <alignment horizontal="right"/>
    </xf>
    <xf numFmtId="0" fontId="1" fillId="0" borderId="21" xfId="0" applyFont="1" applyBorder="1"/>
    <xf numFmtId="164" fontId="1" fillId="0" borderId="8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4" fillId="0" borderId="8" xfId="0" applyFont="1" applyBorder="1"/>
    <xf numFmtId="0" fontId="4" fillId="0" borderId="13" xfId="0" applyFont="1" applyBorder="1"/>
    <xf numFmtId="0" fontId="4" fillId="0" borderId="18" xfId="0" applyFont="1" applyBorder="1"/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C51C-54FA-4163-A798-3B46AC6F062E}">
  <dimension ref="A1:G120"/>
  <sheetViews>
    <sheetView tabSelected="1" workbookViewId="0">
      <selection activeCell="G4" sqref="G4"/>
    </sheetView>
  </sheetViews>
  <sheetFormatPr defaultRowHeight="14.4"/>
  <cols>
    <col min="1" max="1" width="7.5546875" bestFit="1" customWidth="1"/>
    <col min="2" max="2" width="11.109375" bestFit="1" customWidth="1"/>
    <col min="3" max="3" width="16.33203125" bestFit="1" customWidth="1"/>
    <col min="4" max="4" width="55.77734375" bestFit="1" customWidth="1"/>
    <col min="5" max="5" width="22" bestFit="1" customWidth="1"/>
  </cols>
  <sheetData>
    <row r="1" spans="1:7">
      <c r="A1" s="40" t="s">
        <v>166</v>
      </c>
      <c r="B1" s="39" t="s">
        <v>165</v>
      </c>
      <c r="C1" s="39" t="s">
        <v>15</v>
      </c>
      <c r="D1" s="39" t="s">
        <v>164</v>
      </c>
      <c r="E1" s="39" t="s">
        <v>163</v>
      </c>
    </row>
    <row r="2" spans="1:7" ht="15" thickBot="1">
      <c r="A2" s="5"/>
      <c r="B2" s="5"/>
      <c r="C2" s="5"/>
      <c r="D2" s="5"/>
      <c r="E2" s="5"/>
    </row>
    <row r="3" spans="1:7">
      <c r="A3" s="15">
        <v>1</v>
      </c>
      <c r="B3" s="14" t="s">
        <v>162</v>
      </c>
      <c r="C3" s="13" t="s">
        <v>161</v>
      </c>
      <c r="D3" s="38" t="s">
        <v>160</v>
      </c>
      <c r="E3" s="37" t="str">
        <f>_xlfn.CONCAT(C3,C4)</f>
        <v>Tansvi-ARC</v>
      </c>
      <c r="G3" t="s">
        <v>167</v>
      </c>
    </row>
    <row r="4" spans="1:7">
      <c r="A4" s="10"/>
      <c r="B4" s="9"/>
      <c r="C4" s="8" t="s">
        <v>31</v>
      </c>
      <c r="D4" s="34"/>
      <c r="E4" s="33"/>
    </row>
    <row r="5" spans="1:7">
      <c r="A5" s="10"/>
      <c r="B5" s="9"/>
      <c r="C5" s="8" t="s">
        <v>159</v>
      </c>
      <c r="D5" s="36" t="s">
        <v>158</v>
      </c>
      <c r="E5" s="35" t="str">
        <f>_xlfn.CONCAT(C5,C6)</f>
        <v>chartboard</v>
      </c>
    </row>
    <row r="6" spans="1:7">
      <c r="A6" s="10"/>
      <c r="B6" s="9"/>
      <c r="C6" s="8" t="s">
        <v>157</v>
      </c>
      <c r="D6" s="34"/>
      <c r="E6" s="33"/>
    </row>
    <row r="7" spans="1:7">
      <c r="A7" s="10"/>
      <c r="B7" s="9"/>
      <c r="C7" s="8" t="s">
        <v>156</v>
      </c>
      <c r="D7" s="36" t="s">
        <v>155</v>
      </c>
      <c r="E7" s="35" t="str">
        <f>_xlfn.CONCAT(C7,C8)</f>
        <v>recording_no</v>
      </c>
    </row>
    <row r="8" spans="1:7">
      <c r="A8" s="10"/>
      <c r="B8" s="9"/>
      <c r="C8" s="8" t="s">
        <v>154</v>
      </c>
      <c r="D8" s="34"/>
      <c r="E8" s="33"/>
    </row>
    <row r="9" spans="1:7">
      <c r="A9" s="10"/>
      <c r="B9" s="9"/>
      <c r="C9" s="8" t="s">
        <v>153</v>
      </c>
      <c r="D9" s="36" t="s">
        <v>152</v>
      </c>
      <c r="E9" s="35" t="str">
        <f>_xlfn.CONCAT(C9,C10)</f>
        <v>ARC_Institute</v>
      </c>
    </row>
    <row r="10" spans="1:7">
      <c r="A10" s="10"/>
      <c r="B10" s="9"/>
      <c r="C10" s="8" t="s">
        <v>136</v>
      </c>
      <c r="D10" s="34"/>
      <c r="E10" s="33"/>
    </row>
    <row r="11" spans="1:7">
      <c r="A11" s="10"/>
      <c r="B11" s="9"/>
      <c r="C11" s="8" t="s">
        <v>151</v>
      </c>
      <c r="D11" s="36" t="s">
        <v>150</v>
      </c>
      <c r="E11" s="35" t="str">
        <f>_xlfn.CONCAT(C11,C12)</f>
        <v>Dataclean</v>
      </c>
    </row>
    <row r="12" spans="1:7" ht="15" thickBot="1">
      <c r="A12" s="5"/>
      <c r="B12" s="4"/>
      <c r="C12" s="18" t="s">
        <v>149</v>
      </c>
      <c r="D12" s="34"/>
      <c r="E12" s="33"/>
    </row>
    <row r="13" spans="1:7">
      <c r="A13" s="15">
        <v>2</v>
      </c>
      <c r="B13" s="14" t="s">
        <v>148</v>
      </c>
      <c r="C13" s="29" t="s">
        <v>57</v>
      </c>
      <c r="D13" s="12" t="s">
        <v>147</v>
      </c>
      <c r="E13" s="11" t="str">
        <f>CLEAN(C13)</f>
        <v>Room</v>
      </c>
    </row>
    <row r="14" spans="1:7">
      <c r="A14" s="10"/>
      <c r="B14" s="9"/>
      <c r="C14" s="28" t="s">
        <v>55</v>
      </c>
      <c r="D14" s="7" t="s">
        <v>146</v>
      </c>
      <c r="E14" s="6" t="str">
        <f>CLEAN(C14)</f>
        <v>Friend</v>
      </c>
    </row>
    <row r="15" spans="1:7">
      <c r="A15" s="10"/>
      <c r="B15" s="9"/>
      <c r="C15" s="28" t="s">
        <v>53</v>
      </c>
      <c r="D15" s="7" t="s">
        <v>145</v>
      </c>
      <c r="E15" s="6" t="str">
        <f>CLEAN(C15)</f>
        <v>School</v>
      </c>
    </row>
    <row r="16" spans="1:7">
      <c r="A16" s="10"/>
      <c r="B16" s="9"/>
      <c r="C16" s="28" t="s">
        <v>51</v>
      </c>
      <c r="D16" s="7" t="s">
        <v>144</v>
      </c>
      <c r="E16" s="6" t="str">
        <f>CLEAN(C16)</f>
        <v>College</v>
      </c>
    </row>
    <row r="17" spans="1:5">
      <c r="A17" s="10"/>
      <c r="B17" s="9"/>
      <c r="C17" s="28" t="s">
        <v>49</v>
      </c>
      <c r="D17" s="7" t="s">
        <v>143</v>
      </c>
      <c r="E17" s="6" t="str">
        <f>CLEAN(C17)</f>
        <v>Excel</v>
      </c>
    </row>
    <row r="18" spans="1:5" ht="15" thickBot="1">
      <c r="A18" s="5"/>
      <c r="B18" s="4"/>
      <c r="C18" s="3"/>
      <c r="D18" s="2"/>
      <c r="E18" s="1"/>
    </row>
    <row r="19" spans="1:5">
      <c r="A19" s="15">
        <v>3</v>
      </c>
      <c r="B19" s="14" t="s">
        <v>142</v>
      </c>
      <c r="C19" s="25" t="s">
        <v>8</v>
      </c>
      <c r="D19" s="23" t="s">
        <v>141</v>
      </c>
      <c r="E19" s="22" t="b">
        <f>EXACT(C19, "MyPass123")</f>
        <v>0</v>
      </c>
    </row>
    <row r="20" spans="1:5">
      <c r="A20" s="10"/>
      <c r="B20" s="9"/>
      <c r="C20" s="8" t="s">
        <v>8</v>
      </c>
      <c r="D20" s="7" t="s">
        <v>140</v>
      </c>
      <c r="E20" s="32" t="b">
        <f>EXACT(C20, "tansvi-arc")</f>
        <v>0</v>
      </c>
    </row>
    <row r="21" spans="1:5">
      <c r="A21" s="10"/>
      <c r="B21" s="9"/>
      <c r="C21" s="8" t="s">
        <v>34</v>
      </c>
      <c r="D21" s="7" t="s">
        <v>139</v>
      </c>
      <c r="E21" s="31" t="b">
        <f>EXACT(C21, "Tansvi ")</f>
        <v>0</v>
      </c>
    </row>
    <row r="22" spans="1:5">
      <c r="A22" s="10"/>
      <c r="B22" s="9"/>
      <c r="C22" s="8" t="s">
        <v>138</v>
      </c>
      <c r="D22" s="7" t="s">
        <v>137</v>
      </c>
      <c r="E22" s="6" t="b">
        <f>EXACT(C22,"ARC-technology ")</f>
        <v>0</v>
      </c>
    </row>
    <row r="23" spans="1:5">
      <c r="A23" s="10"/>
      <c r="B23" s="9"/>
      <c r="C23" s="8" t="s">
        <v>136</v>
      </c>
      <c r="D23" s="7" t="s">
        <v>135</v>
      </c>
      <c r="E23" s="6" t="b">
        <f>EXACT(C23,"Institute")</f>
        <v>1</v>
      </c>
    </row>
    <row r="24" spans="1:5" ht="15" thickBot="1">
      <c r="A24" s="5"/>
      <c r="B24" s="4"/>
      <c r="C24" s="18"/>
      <c r="D24" s="17"/>
      <c r="E24" s="16"/>
    </row>
    <row r="25" spans="1:5">
      <c r="A25" s="15">
        <v>4</v>
      </c>
      <c r="B25" s="14" t="s">
        <v>134</v>
      </c>
      <c r="C25" s="13" t="s">
        <v>8</v>
      </c>
      <c r="D25" s="12" t="s">
        <v>133</v>
      </c>
      <c r="E25" s="11">
        <f>FIND("A",C25)</f>
        <v>8</v>
      </c>
    </row>
    <row r="26" spans="1:5">
      <c r="A26" s="10"/>
      <c r="B26" s="9"/>
      <c r="C26" s="8" t="s">
        <v>6</v>
      </c>
      <c r="D26" s="7" t="s">
        <v>132</v>
      </c>
      <c r="E26" s="6">
        <f>FIND("A",C26,3)</f>
        <v>4</v>
      </c>
    </row>
    <row r="27" spans="1:5">
      <c r="A27" s="10"/>
      <c r="B27" s="9"/>
      <c r="C27" s="8" t="s">
        <v>4</v>
      </c>
      <c r="D27" s="7" t="s">
        <v>131</v>
      </c>
      <c r="E27" s="6">
        <f>FIND("N",C27)</f>
        <v>8</v>
      </c>
    </row>
    <row r="28" spans="1:5">
      <c r="A28" s="10"/>
      <c r="B28" s="9"/>
      <c r="C28" s="8" t="s">
        <v>1</v>
      </c>
      <c r="D28" s="7" t="s">
        <v>130</v>
      </c>
      <c r="E28" s="6">
        <f>FIND("a",C28,5)</f>
        <v>7</v>
      </c>
    </row>
    <row r="29" spans="1:5">
      <c r="A29" s="10"/>
      <c r="B29" s="9"/>
      <c r="C29" s="8" t="s">
        <v>1</v>
      </c>
      <c r="D29" s="7" t="s">
        <v>129</v>
      </c>
      <c r="E29" s="6">
        <f>FIND("a",C29,1)</f>
        <v>2</v>
      </c>
    </row>
    <row r="30" spans="1:5" ht="15" thickBot="1">
      <c r="A30" s="5"/>
      <c r="B30" s="4"/>
      <c r="C30" s="3"/>
      <c r="D30" s="2"/>
      <c r="E30" s="1"/>
    </row>
    <row r="31" spans="1:5">
      <c r="A31" s="15">
        <v>5</v>
      </c>
      <c r="B31" s="14" t="s">
        <v>128</v>
      </c>
      <c r="C31" s="13" t="s">
        <v>8</v>
      </c>
      <c r="D31" s="12" t="s">
        <v>127</v>
      </c>
      <c r="E31" s="11" t="str">
        <f>LEFT(C31,6)</f>
        <v>Tansvi</v>
      </c>
    </row>
    <row r="32" spans="1:5">
      <c r="A32" s="10"/>
      <c r="B32" s="9"/>
      <c r="C32" s="8" t="s">
        <v>6</v>
      </c>
      <c r="D32" s="7" t="s">
        <v>126</v>
      </c>
      <c r="E32" s="6" t="str">
        <f>LEFT(C32,4)</f>
        <v>DATA</v>
      </c>
    </row>
    <row r="33" spans="1:5">
      <c r="A33" s="10"/>
      <c r="B33" s="9"/>
      <c r="C33" s="8" t="s">
        <v>4</v>
      </c>
      <c r="D33" s="7" t="s">
        <v>125</v>
      </c>
      <c r="E33" s="6" t="str">
        <f>LEFT(C33,3)</f>
        <v>Tan</v>
      </c>
    </row>
    <row r="34" spans="1:5">
      <c r="A34" s="10"/>
      <c r="B34" s="9"/>
      <c r="C34" s="8" t="s">
        <v>1</v>
      </c>
      <c r="D34" s="7" t="s">
        <v>124</v>
      </c>
      <c r="E34" s="6" t="str">
        <f>LEFT(C34,8)</f>
        <v>DataAnal</v>
      </c>
    </row>
    <row r="35" spans="1:5">
      <c r="A35" s="10"/>
      <c r="B35" s="9"/>
      <c r="C35" s="8" t="s">
        <v>1</v>
      </c>
      <c r="D35" s="7" t="s">
        <v>123</v>
      </c>
      <c r="E35" s="6" t="str">
        <f>LEFT(C35,2)</f>
        <v>Da</v>
      </c>
    </row>
    <row r="36" spans="1:5" ht="15" thickBot="1">
      <c r="A36" s="5"/>
      <c r="B36" s="4"/>
      <c r="C36" s="3"/>
      <c r="D36" s="2"/>
      <c r="E36" s="1"/>
    </row>
    <row r="37" spans="1:5">
      <c r="A37" s="15">
        <v>6</v>
      </c>
      <c r="B37" s="14" t="s">
        <v>122</v>
      </c>
      <c r="C37" s="25" t="s">
        <v>8</v>
      </c>
      <c r="D37" s="23" t="s">
        <v>121</v>
      </c>
      <c r="E37" s="22" t="str">
        <f>RIGHT($C37,3)</f>
        <v>ARC</v>
      </c>
    </row>
    <row r="38" spans="1:5">
      <c r="A38" s="10"/>
      <c r="B38" s="9"/>
      <c r="C38" s="8" t="s">
        <v>6</v>
      </c>
      <c r="D38" s="7" t="s">
        <v>120</v>
      </c>
      <c r="E38" s="6" t="str">
        <f>RIGHT($C38,7)</f>
        <v>science</v>
      </c>
    </row>
    <row r="39" spans="1:5">
      <c r="A39" s="10"/>
      <c r="B39" s="9"/>
      <c r="C39" s="8" t="s">
        <v>4</v>
      </c>
      <c r="D39" s="7" t="s">
        <v>119</v>
      </c>
      <c r="E39" s="6" t="str">
        <f>RIGHT($C39,9)</f>
        <v>Nagalwade</v>
      </c>
    </row>
    <row r="40" spans="1:5">
      <c r="A40" s="10"/>
      <c r="B40" s="9"/>
      <c r="C40" s="8" t="s">
        <v>1</v>
      </c>
      <c r="D40" s="7" t="s">
        <v>118</v>
      </c>
      <c r="E40" s="6" t="str">
        <f>RIGHT($C40,4)</f>
        <v>tics</v>
      </c>
    </row>
    <row r="41" spans="1:5">
      <c r="A41" s="10"/>
      <c r="B41" s="9"/>
      <c r="C41" s="8" t="s">
        <v>1</v>
      </c>
      <c r="D41" s="7" t="s">
        <v>117</v>
      </c>
      <c r="E41" s="6" t="str">
        <f>RIGHT($C41,9)</f>
        <v>Analytics</v>
      </c>
    </row>
    <row r="42" spans="1:5" ht="15" thickBot="1">
      <c r="A42" s="5"/>
      <c r="B42" s="4"/>
      <c r="C42" s="18"/>
      <c r="D42" s="17"/>
      <c r="E42" s="16"/>
    </row>
    <row r="43" spans="1:5">
      <c r="A43" s="15">
        <v>7</v>
      </c>
      <c r="B43" s="14" t="s">
        <v>116</v>
      </c>
      <c r="C43" s="13" t="s">
        <v>8</v>
      </c>
      <c r="D43" s="12" t="s">
        <v>115</v>
      </c>
      <c r="E43" s="11">
        <f>LEN($C43)</f>
        <v>10</v>
      </c>
    </row>
    <row r="44" spans="1:5">
      <c r="A44" s="10"/>
      <c r="B44" s="9"/>
      <c r="C44" s="8" t="s">
        <v>114</v>
      </c>
      <c r="D44" s="7" t="s">
        <v>113</v>
      </c>
      <c r="E44" s="6">
        <f>LEN($C44)</f>
        <v>12</v>
      </c>
    </row>
    <row r="45" spans="1:5">
      <c r="A45" s="10"/>
      <c r="B45" s="9"/>
      <c r="C45" s="8" t="s">
        <v>8</v>
      </c>
      <c r="D45" s="7" t="s">
        <v>112</v>
      </c>
      <c r="E45" s="6">
        <f>LEN($C45)</f>
        <v>10</v>
      </c>
    </row>
    <row r="46" spans="1:5">
      <c r="A46" s="10"/>
      <c r="B46" s="9"/>
      <c r="C46" s="8" t="s">
        <v>111</v>
      </c>
      <c r="D46" s="7" t="s">
        <v>110</v>
      </c>
      <c r="E46" s="6">
        <f>LEN($C46)</f>
        <v>8</v>
      </c>
    </row>
    <row r="47" spans="1:5">
      <c r="A47" s="10"/>
      <c r="B47" s="9"/>
      <c r="C47" s="8" t="s">
        <v>109</v>
      </c>
      <c r="D47" s="7" t="s">
        <v>108</v>
      </c>
      <c r="E47" s="6">
        <f>LEN($C47)</f>
        <v>5</v>
      </c>
    </row>
    <row r="48" spans="1:5" ht="15" thickBot="1">
      <c r="A48" s="5"/>
      <c r="B48" s="4"/>
      <c r="C48" s="3"/>
      <c r="D48" s="2"/>
      <c r="E48" s="1"/>
    </row>
    <row r="49" spans="1:5">
      <c r="A49" s="15">
        <v>8</v>
      </c>
      <c r="B49" s="14" t="s">
        <v>107</v>
      </c>
      <c r="C49" s="25" t="s">
        <v>8</v>
      </c>
      <c r="D49" s="23" t="s">
        <v>106</v>
      </c>
      <c r="E49" s="22" t="str">
        <f>MID($C49,1,6)</f>
        <v>Tansvi</v>
      </c>
    </row>
    <row r="50" spans="1:5">
      <c r="A50" s="10"/>
      <c r="B50" s="9"/>
      <c r="C50" s="8" t="s">
        <v>105</v>
      </c>
      <c r="D50" s="7" t="s">
        <v>104</v>
      </c>
      <c r="E50" s="6" t="str">
        <f>MID($C50,3,1)</f>
        <v>-</v>
      </c>
    </row>
    <row r="51" spans="1:5">
      <c r="A51" s="10"/>
      <c r="B51" s="9"/>
      <c r="C51" s="8" t="s">
        <v>103</v>
      </c>
      <c r="D51" s="7" t="s">
        <v>102</v>
      </c>
      <c r="E51" s="6" t="str">
        <f>MID($C51,1,3)</f>
        <v>Cap</v>
      </c>
    </row>
    <row r="52" spans="1:5">
      <c r="A52" s="10"/>
      <c r="B52" s="9"/>
      <c r="C52" s="8" t="s">
        <v>101</v>
      </c>
      <c r="D52" s="7" t="s">
        <v>100</v>
      </c>
      <c r="E52" s="6" t="str">
        <f>MID($C52,6,7)</f>
        <v>grapher</v>
      </c>
    </row>
    <row r="53" spans="1:5">
      <c r="A53" s="10"/>
      <c r="B53" s="9"/>
      <c r="C53" s="8" t="s">
        <v>99</v>
      </c>
      <c r="D53" s="7" t="s">
        <v>98</v>
      </c>
      <c r="E53" s="6" t="str">
        <f>MID($C53,1,6)</f>
        <v>direct</v>
      </c>
    </row>
    <row r="54" spans="1:5" ht="15" thickBot="1">
      <c r="A54" s="5"/>
      <c r="B54" s="4"/>
      <c r="C54" s="18"/>
      <c r="D54" s="17"/>
      <c r="E54" s="16"/>
    </row>
    <row r="55" spans="1:5">
      <c r="A55" s="15">
        <v>9</v>
      </c>
      <c r="B55" s="14" t="s">
        <v>97</v>
      </c>
      <c r="C55" s="13" t="s">
        <v>96</v>
      </c>
      <c r="D55" s="12" t="s">
        <v>95</v>
      </c>
      <c r="E55" s="11" t="str">
        <f>LOWER($C55)</f>
        <v>tansvi-arc</v>
      </c>
    </row>
    <row r="56" spans="1:5">
      <c r="A56" s="10"/>
      <c r="B56" s="9"/>
      <c r="C56" s="8" t="s">
        <v>94</v>
      </c>
      <c r="D56" s="7" t="s">
        <v>93</v>
      </c>
      <c r="E56" s="6" t="str">
        <f>LOWER($C56)</f>
        <v>tanu</v>
      </c>
    </row>
    <row r="57" spans="1:5">
      <c r="A57" s="10"/>
      <c r="B57" s="9"/>
      <c r="C57" s="8" t="s">
        <v>92</v>
      </c>
      <c r="D57" s="7" t="s">
        <v>91</v>
      </c>
      <c r="E57" s="6" t="str">
        <f>LOWER($C57)</f>
        <v>tanvi2</v>
      </c>
    </row>
    <row r="58" spans="1:5">
      <c r="A58" s="10"/>
      <c r="B58" s="9"/>
      <c r="C58" s="8" t="s">
        <v>90</v>
      </c>
      <c r="D58" s="7" t="s">
        <v>89</v>
      </c>
      <c r="E58" s="6" t="str">
        <f>LOWER($C58)</f>
        <v>8979arc</v>
      </c>
    </row>
    <row r="59" spans="1:5">
      <c r="A59" s="10"/>
      <c r="B59" s="9"/>
      <c r="C59" s="8" t="s">
        <v>88</v>
      </c>
      <c r="D59" s="7" t="s">
        <v>87</v>
      </c>
      <c r="E59" s="6" t="str">
        <f>LOWER($C59)</f>
        <v>arcccccc</v>
      </c>
    </row>
    <row r="60" spans="1:5" ht="15" thickBot="1">
      <c r="A60" s="5"/>
      <c r="B60" s="4"/>
      <c r="C60" s="3"/>
      <c r="D60" s="2"/>
      <c r="E60" s="1" t="str">
        <f>LOWER($C60)</f>
        <v/>
      </c>
    </row>
    <row r="61" spans="1:5">
      <c r="A61" s="15">
        <v>10</v>
      </c>
      <c r="B61" s="14" t="s">
        <v>86</v>
      </c>
      <c r="C61" s="25" t="s">
        <v>85</v>
      </c>
      <c r="D61" s="23" t="s">
        <v>84</v>
      </c>
      <c r="E61" s="22" t="str">
        <f>UPPER($C61)</f>
        <v>TANSVI-ARC</v>
      </c>
    </row>
    <row r="62" spans="1:5">
      <c r="A62" s="10"/>
      <c r="B62" s="9"/>
      <c r="C62" s="8" t="s">
        <v>83</v>
      </c>
      <c r="D62" s="7" t="s">
        <v>82</v>
      </c>
      <c r="E62" s="6" t="str">
        <f>UPPER($C62)</f>
        <v>TANU</v>
      </c>
    </row>
    <row r="63" spans="1:5">
      <c r="A63" s="10"/>
      <c r="B63" s="9"/>
      <c r="C63" s="8" t="s">
        <v>81</v>
      </c>
      <c r="D63" s="7" t="s">
        <v>80</v>
      </c>
      <c r="E63" s="6" t="str">
        <f>UPPER($C63)</f>
        <v>TANVI2</v>
      </c>
    </row>
    <row r="64" spans="1:5">
      <c r="A64" s="10"/>
      <c r="B64" s="9"/>
      <c r="C64" s="8" t="s">
        <v>79</v>
      </c>
      <c r="D64" s="7" t="s">
        <v>78</v>
      </c>
      <c r="E64" s="6" t="str">
        <f>UPPER($C64)</f>
        <v>8979ARC</v>
      </c>
    </row>
    <row r="65" spans="1:5">
      <c r="A65" s="10"/>
      <c r="B65" s="9"/>
      <c r="C65" s="8" t="s">
        <v>77</v>
      </c>
      <c r="D65" s="7" t="s">
        <v>76</v>
      </c>
      <c r="E65" s="6" t="str">
        <f>UPPER($C65)</f>
        <v>ARCCCCC</v>
      </c>
    </row>
    <row r="66" spans="1:5" ht="15" thickBot="1">
      <c r="A66" s="5"/>
      <c r="B66" s="4"/>
      <c r="C66" s="18"/>
      <c r="D66" s="17"/>
      <c r="E66" s="16" t="str">
        <f>UPPER($C66)</f>
        <v/>
      </c>
    </row>
    <row r="67" spans="1:5">
      <c r="A67" s="15">
        <v>11</v>
      </c>
      <c r="B67" s="14" t="s">
        <v>75</v>
      </c>
      <c r="C67" s="13" t="s">
        <v>74</v>
      </c>
      <c r="D67" s="12" t="s">
        <v>73</v>
      </c>
      <c r="E67" s="11" t="str">
        <f>PROPER($C67)</f>
        <v>Tansvi-Arc</v>
      </c>
    </row>
    <row r="68" spans="1:5">
      <c r="A68" s="10"/>
      <c r="B68" s="9"/>
      <c r="C68" s="8" t="s">
        <v>72</v>
      </c>
      <c r="D68" s="7" t="s">
        <v>71</v>
      </c>
      <c r="E68" s="6" t="str">
        <f>PROPER($C68)</f>
        <v>Tanshree</v>
      </c>
    </row>
    <row r="69" spans="1:5">
      <c r="A69" s="10"/>
      <c r="B69" s="9"/>
      <c r="C69" s="8" t="s">
        <v>70</v>
      </c>
      <c r="D69" s="7" t="s">
        <v>69</v>
      </c>
      <c r="E69" s="6" t="str">
        <f>PROPER($C69)</f>
        <v>Tansvi Nagalwade</v>
      </c>
    </row>
    <row r="70" spans="1:5">
      <c r="A70" s="10"/>
      <c r="B70" s="9"/>
      <c r="C70" s="8" t="s">
        <v>68</v>
      </c>
      <c r="D70" s="7" t="s">
        <v>67</v>
      </c>
      <c r="E70" s="6" t="str">
        <f>PROPER($C70)</f>
        <v>Arc</v>
      </c>
    </row>
    <row r="71" spans="1:5">
      <c r="A71" s="10"/>
      <c r="B71" s="9"/>
      <c r="C71" s="8" t="s">
        <v>66</v>
      </c>
      <c r="D71" s="7" t="s">
        <v>65</v>
      </c>
      <c r="E71" s="6" t="str">
        <f>PROPER($C71)</f>
        <v>Tanvi</v>
      </c>
    </row>
    <row r="72" spans="1:5" ht="15" thickBot="1">
      <c r="A72" s="5"/>
      <c r="B72" s="4"/>
      <c r="C72" s="3"/>
      <c r="D72" s="2"/>
      <c r="E72" s="1"/>
    </row>
    <row r="73" spans="1:5">
      <c r="A73" s="15">
        <v>12</v>
      </c>
      <c r="B73" s="14" t="s">
        <v>64</v>
      </c>
      <c r="C73" s="25" t="s">
        <v>8</v>
      </c>
      <c r="D73" s="23" t="s">
        <v>63</v>
      </c>
      <c r="E73" s="22" t="str">
        <f>REPLACE($C73,4,1,"")</f>
        <v>Tanvi-ARC</v>
      </c>
    </row>
    <row r="74" spans="1:5">
      <c r="A74" s="10"/>
      <c r="B74" s="9"/>
      <c r="C74" s="28" t="s">
        <v>57</v>
      </c>
      <c r="D74" s="7" t="s">
        <v>62</v>
      </c>
      <c r="E74" s="6" t="str">
        <f>REPLACE($C74,4,1,"mpartener")</f>
        <v>Roompartener</v>
      </c>
    </row>
    <row r="75" spans="1:5">
      <c r="A75" s="10"/>
      <c r="B75" s="9"/>
      <c r="C75" s="28" t="s">
        <v>55</v>
      </c>
      <c r="D75" s="7" t="s">
        <v>61</v>
      </c>
      <c r="E75" s="6" t="str">
        <f>REPLACE($C75,3,3,"")</f>
        <v>Frd</v>
      </c>
    </row>
    <row r="76" spans="1:5">
      <c r="A76" s="10"/>
      <c r="B76" s="9"/>
      <c r="C76" s="28" t="s">
        <v>53</v>
      </c>
      <c r="D76" s="7" t="s">
        <v>60</v>
      </c>
      <c r="E76" s="6" t="str">
        <f>REPLACE($C76,4,1,"***")</f>
        <v>Sch***ol</v>
      </c>
    </row>
    <row r="77" spans="1:5">
      <c r="A77" s="10"/>
      <c r="B77" s="9"/>
      <c r="C77" s="28" t="s">
        <v>51</v>
      </c>
      <c r="D77" s="7" t="s">
        <v>59</v>
      </c>
      <c r="E77" s="6" t="str">
        <f>REPLACE($C77,4,4,"")</f>
        <v>Col</v>
      </c>
    </row>
    <row r="78" spans="1:5" ht="15" thickBot="1">
      <c r="A78" s="5"/>
      <c r="B78" s="4"/>
      <c r="C78" s="30"/>
      <c r="D78" s="17"/>
      <c r="E78" s="16"/>
    </row>
    <row r="79" spans="1:5">
      <c r="A79" s="15">
        <v>13</v>
      </c>
      <c r="B79" s="14" t="s">
        <v>58</v>
      </c>
      <c r="C79" s="29" t="s">
        <v>57</v>
      </c>
      <c r="D79" s="12" t="s">
        <v>56</v>
      </c>
      <c r="E79" s="11">
        <f>SEARCH("o",$C79,3)</f>
        <v>3</v>
      </c>
    </row>
    <row r="80" spans="1:5">
      <c r="A80" s="10"/>
      <c r="B80" s="9"/>
      <c r="C80" s="28" t="s">
        <v>55</v>
      </c>
      <c r="D80" s="7" t="s">
        <v>54</v>
      </c>
      <c r="E80" s="6">
        <f>SEARCH("e",$C80)</f>
        <v>4</v>
      </c>
    </row>
    <row r="81" spans="1:5">
      <c r="A81" s="10"/>
      <c r="B81" s="9"/>
      <c r="C81" s="28" t="s">
        <v>53</v>
      </c>
      <c r="D81" s="7" t="s">
        <v>52</v>
      </c>
      <c r="E81" s="6">
        <f>SEARCH("o",$C81,5)</f>
        <v>5</v>
      </c>
    </row>
    <row r="82" spans="1:5">
      <c r="A82" s="10"/>
      <c r="B82" s="9"/>
      <c r="C82" s="28" t="s">
        <v>51</v>
      </c>
      <c r="D82" s="7" t="s">
        <v>50</v>
      </c>
      <c r="E82" s="6">
        <f>SEARCH("l",$C82,4)</f>
        <v>4</v>
      </c>
    </row>
    <row r="83" spans="1:5">
      <c r="A83" s="10"/>
      <c r="B83" s="9"/>
      <c r="C83" s="28" t="s">
        <v>49</v>
      </c>
      <c r="D83" s="7" t="s">
        <v>48</v>
      </c>
      <c r="E83" s="6">
        <f>SEARCH("E",$C83)</f>
        <v>1</v>
      </c>
    </row>
    <row r="84" spans="1:5" ht="15" thickBot="1">
      <c r="A84" s="5"/>
      <c r="B84" s="4"/>
      <c r="C84" s="3"/>
      <c r="D84" s="2"/>
      <c r="E84" s="1"/>
    </row>
    <row r="85" spans="1:5">
      <c r="A85" s="15">
        <v>14</v>
      </c>
      <c r="B85" s="14" t="s">
        <v>47</v>
      </c>
      <c r="C85" s="25">
        <v>1</v>
      </c>
      <c r="D85" s="23" t="s">
        <v>46</v>
      </c>
      <c r="E85" s="22" t="str">
        <f>REPT($C85,1)</f>
        <v>1</v>
      </c>
    </row>
    <row r="86" spans="1:5">
      <c r="A86" s="10"/>
      <c r="B86" s="9"/>
      <c r="C86" s="8">
        <v>2</v>
      </c>
      <c r="D86" s="7" t="s">
        <v>45</v>
      </c>
      <c r="E86" s="6" t="str">
        <f>REPT($C86,2)</f>
        <v>22</v>
      </c>
    </row>
    <row r="87" spans="1:5">
      <c r="A87" s="10"/>
      <c r="B87" s="9"/>
      <c r="C87" s="8">
        <v>3</v>
      </c>
      <c r="D87" s="7" t="s">
        <v>44</v>
      </c>
      <c r="E87" s="6" t="str">
        <f>REPT($C87,3)</f>
        <v>333</v>
      </c>
    </row>
    <row r="88" spans="1:5">
      <c r="A88" s="10"/>
      <c r="B88" s="9"/>
      <c r="C88" s="8">
        <v>4</v>
      </c>
      <c r="D88" s="7" t="s">
        <v>43</v>
      </c>
      <c r="E88" s="6" t="str">
        <f>REPT($C88,4)</f>
        <v>4444</v>
      </c>
    </row>
    <row r="89" spans="1:5">
      <c r="A89" s="10"/>
      <c r="B89" s="9"/>
      <c r="C89" s="8">
        <v>5</v>
      </c>
      <c r="D89" s="7" t="s">
        <v>42</v>
      </c>
      <c r="E89" s="6" t="str">
        <f>REPT($C89,5)</f>
        <v>55555</v>
      </c>
    </row>
    <row r="90" spans="1:5" ht="15" thickBot="1">
      <c r="A90" s="5"/>
      <c r="B90" s="4"/>
      <c r="C90" s="18"/>
      <c r="D90" s="17"/>
      <c r="E90" s="16"/>
    </row>
    <row r="91" spans="1:5">
      <c r="A91" s="15">
        <v>15</v>
      </c>
      <c r="B91" s="14" t="s">
        <v>41</v>
      </c>
      <c r="C91" s="27">
        <v>46089</v>
      </c>
      <c r="D91" s="12" t="s">
        <v>40</v>
      </c>
      <c r="E91" s="11" t="str">
        <f>TEXT(C91,"ddd")</f>
        <v>Sun</v>
      </c>
    </row>
    <row r="92" spans="1:5">
      <c r="A92" s="10"/>
      <c r="B92" s="9"/>
      <c r="C92" s="19">
        <v>50000</v>
      </c>
      <c r="D92" s="7" t="s">
        <v>39</v>
      </c>
      <c r="E92" s="6" t="str">
        <f>TEXT(C92, "₹#,##0.00")</f>
        <v>₹50,000.00</v>
      </c>
    </row>
    <row r="93" spans="1:5">
      <c r="A93" s="10"/>
      <c r="B93" s="9"/>
      <c r="C93" s="19">
        <v>937379724</v>
      </c>
      <c r="D93" s="7" t="s">
        <v>38</v>
      </c>
      <c r="E93" s="6" t="str">
        <f>TEXT(C93, "000-000-0000")</f>
        <v>093-737-9724</v>
      </c>
    </row>
    <row r="94" spans="1:5">
      <c r="A94" s="10"/>
      <c r="B94" s="9"/>
      <c r="C94" s="19">
        <v>6</v>
      </c>
      <c r="D94" s="7" t="s">
        <v>37</v>
      </c>
      <c r="E94" s="6" t="str">
        <f>TEXT(C94,"0000")</f>
        <v>0006</v>
      </c>
    </row>
    <row r="95" spans="1:5">
      <c r="A95" s="10"/>
      <c r="B95" s="9"/>
      <c r="C95" s="26">
        <v>46089</v>
      </c>
      <c r="D95" s="7" t="s">
        <v>36</v>
      </c>
      <c r="E95" s="6" t="str">
        <f>TEXT(C95,"MMM")</f>
        <v>Mar</v>
      </c>
    </row>
    <row r="96" spans="1:5" ht="15" thickBot="1">
      <c r="A96" s="5"/>
      <c r="B96" s="4"/>
      <c r="C96" s="3"/>
      <c r="D96" s="2"/>
      <c r="E96" s="1"/>
    </row>
    <row r="97" spans="1:5">
      <c r="A97" s="15">
        <v>16</v>
      </c>
      <c r="B97" s="14" t="s">
        <v>35</v>
      </c>
      <c r="C97" s="25" t="s">
        <v>34</v>
      </c>
      <c r="D97" s="23" t="s">
        <v>33</v>
      </c>
      <c r="E97" s="22" t="str">
        <f>_xlfn.TEXTJOIN("-",TRUE,C97:C99)</f>
        <v>Tansvi-ARC</v>
      </c>
    </row>
    <row r="98" spans="1:5">
      <c r="A98" s="10"/>
      <c r="B98" s="9"/>
      <c r="C98" s="8"/>
      <c r="D98" s="7" t="s">
        <v>32</v>
      </c>
      <c r="E98" s="6" t="str">
        <f>_xlfn.TEXTJOIN(":",TRUE,C97:C99)</f>
        <v>Tansvi:ARC</v>
      </c>
    </row>
    <row r="99" spans="1:5">
      <c r="A99" s="10"/>
      <c r="B99" s="9"/>
      <c r="C99" s="8" t="s">
        <v>31</v>
      </c>
      <c r="D99" s="7" t="s">
        <v>30</v>
      </c>
      <c r="E99" s="6" t="str">
        <f>_xlfn.TEXTJOIN(" ",TRUE,C97:C102)</f>
        <v>Tansvi ARC 1 2</v>
      </c>
    </row>
    <row r="100" spans="1:5">
      <c r="A100" s="10"/>
      <c r="B100" s="9"/>
      <c r="C100" s="8"/>
      <c r="D100" s="7" t="s">
        <v>29</v>
      </c>
      <c r="E100" s="6" t="str">
        <f>_xlfn.TEXTJOIN("/",TRUE,"NAGPUR","440032")</f>
        <v>NAGPUR/440032</v>
      </c>
    </row>
    <row r="101" spans="1:5">
      <c r="A101" s="10"/>
      <c r="B101" s="9"/>
      <c r="C101" s="8">
        <v>1</v>
      </c>
      <c r="D101" s="7" t="s">
        <v>28</v>
      </c>
      <c r="E101" s="6" t="str">
        <f ca="1">_xlfn.TEXTJOIN(": ",TRUE,"Today's Date ",TEXT(TODAY(),"dd-mmm-yy"))</f>
        <v>Today's Date : 14-Mar-26</v>
      </c>
    </row>
    <row r="102" spans="1:5">
      <c r="A102" s="10"/>
      <c r="B102" s="9"/>
      <c r="C102" s="8">
        <v>2</v>
      </c>
      <c r="D102" s="7" t="s">
        <v>27</v>
      </c>
      <c r="E102" s="6" t="str">
        <f>_xlfn.TEXTJOIN("_",FALSE,C97:C99)</f>
        <v>Tansvi__ARC</v>
      </c>
    </row>
    <row r="103" spans="1:5" ht="15" thickBot="1">
      <c r="A103" s="5"/>
      <c r="B103" s="4"/>
      <c r="C103" s="18"/>
      <c r="D103" s="17"/>
      <c r="E103" s="16"/>
    </row>
    <row r="104" spans="1:5">
      <c r="A104" s="15">
        <v>17</v>
      </c>
      <c r="B104" s="14" t="s">
        <v>26</v>
      </c>
      <c r="C104" s="13" t="s">
        <v>25</v>
      </c>
      <c r="D104" s="12" t="s">
        <v>24</v>
      </c>
      <c r="E104" s="11" t="str">
        <f>TRIM($C104)</f>
        <v>Tansvi - ARC</v>
      </c>
    </row>
    <row r="105" spans="1:5">
      <c r="A105" s="10"/>
      <c r="B105" s="9"/>
      <c r="C105" s="8" t="s">
        <v>23</v>
      </c>
      <c r="D105" s="7" t="s">
        <v>22</v>
      </c>
      <c r="E105" s="6" t="str">
        <f>TRIM($C105)</f>
        <v>TANVI ..</v>
      </c>
    </row>
    <row r="106" spans="1:5">
      <c r="A106" s="10"/>
      <c r="B106" s="9"/>
      <c r="C106" s="8" t="s">
        <v>21</v>
      </c>
      <c r="D106" s="7" t="s">
        <v>20</v>
      </c>
      <c r="E106" s="6" t="str">
        <f>TRIM($C106)</f>
        <v>ARC /</v>
      </c>
    </row>
    <row r="107" spans="1:5">
      <c r="A107" s="10"/>
      <c r="B107" s="9"/>
      <c r="C107" s="8" t="s">
        <v>19</v>
      </c>
      <c r="D107" s="7" t="s">
        <v>18</v>
      </c>
      <c r="E107" s="6" t="str">
        <f>TRIM($C107)</f>
        <v>-A R C</v>
      </c>
    </row>
    <row r="108" spans="1:5">
      <c r="A108" s="10"/>
      <c r="B108" s="9"/>
      <c r="C108" s="8" t="s">
        <v>17</v>
      </c>
      <c r="D108" s="7" t="s">
        <v>16</v>
      </c>
      <c r="E108" s="6" t="str">
        <f>TRIM($C108)</f>
        <v>WCEM</v>
      </c>
    </row>
    <row r="109" spans="1:5" ht="15" thickBot="1">
      <c r="A109" s="5"/>
      <c r="B109" s="4"/>
      <c r="C109" s="3"/>
      <c r="D109" s="2"/>
      <c r="E109" s="1" t="str">
        <f>TRIM($C109)</f>
        <v/>
      </c>
    </row>
    <row r="110" spans="1:5">
      <c r="A110" s="15">
        <v>18</v>
      </c>
      <c r="B110" s="14" t="s">
        <v>15</v>
      </c>
      <c r="C110" s="24">
        <v>1</v>
      </c>
      <c r="D110" s="23" t="s">
        <v>14</v>
      </c>
      <c r="E110" s="22">
        <f>VALUE($C110)</f>
        <v>1</v>
      </c>
    </row>
    <row r="111" spans="1:5">
      <c r="A111" s="10"/>
      <c r="B111" s="9"/>
      <c r="C111" s="21">
        <v>0.1</v>
      </c>
      <c r="D111" s="7" t="s">
        <v>13</v>
      </c>
      <c r="E111" s="6">
        <f>VALUE($C111)</f>
        <v>0.1</v>
      </c>
    </row>
    <row r="112" spans="1:5">
      <c r="A112" s="10"/>
      <c r="B112" s="9"/>
      <c r="C112" s="20">
        <v>0.5</v>
      </c>
      <c r="D112" s="7" t="s">
        <v>12</v>
      </c>
      <c r="E112" s="6">
        <f>VALUE($C112)</f>
        <v>0.5</v>
      </c>
    </row>
    <row r="113" spans="1:5">
      <c r="A113" s="10"/>
      <c r="B113" s="9"/>
      <c r="C113" s="19">
        <v>6</v>
      </c>
      <c r="D113" s="7" t="s">
        <v>11</v>
      </c>
      <c r="E113" s="6">
        <f>VALUE($C113)</f>
        <v>6</v>
      </c>
    </row>
    <row r="114" spans="1:5">
      <c r="A114" s="10"/>
      <c r="B114" s="9"/>
      <c r="C114" s="19">
        <v>123</v>
      </c>
      <c r="D114" s="7" t="s">
        <v>10</v>
      </c>
      <c r="E114" s="6">
        <f>VALUE($C114)</f>
        <v>123</v>
      </c>
    </row>
    <row r="115" spans="1:5" ht="15" thickBot="1">
      <c r="A115" s="5"/>
      <c r="B115" s="4"/>
      <c r="C115" s="18"/>
      <c r="D115" s="17"/>
      <c r="E115" s="16"/>
    </row>
    <row r="116" spans="1:5">
      <c r="A116" s="15">
        <v>19</v>
      </c>
      <c r="B116" s="14" t="s">
        <v>9</v>
      </c>
      <c r="C116" s="13" t="s">
        <v>8</v>
      </c>
      <c r="D116" s="12" t="s">
        <v>7</v>
      </c>
      <c r="E116" s="11" t="str">
        <f>SUBSTITUTE(C116, "A", "a")</f>
        <v>Tansvi-aRC</v>
      </c>
    </row>
    <row r="117" spans="1:5">
      <c r="A117" s="10"/>
      <c r="B117" s="9"/>
      <c r="C117" s="8" t="s">
        <v>6</v>
      </c>
      <c r="D117" s="7" t="s">
        <v>5</v>
      </c>
      <c r="E117" s="6" t="str">
        <f>SUBSTITUTE(C117,"svi","vi")</f>
        <v>DATAscience</v>
      </c>
    </row>
    <row r="118" spans="1:5">
      <c r="A118" s="10"/>
      <c r="B118" s="9"/>
      <c r="C118" s="8" t="s">
        <v>4</v>
      </c>
      <c r="D118" s="7" t="s">
        <v>3</v>
      </c>
      <c r="E118" s="6" t="str">
        <f>SUBSTITUTE(C118,"s","")</f>
        <v>Tanvi_Nagalwade</v>
      </c>
    </row>
    <row r="119" spans="1:5">
      <c r="A119" s="10"/>
      <c r="B119" s="9"/>
      <c r="C119" s="8" t="s">
        <v>1</v>
      </c>
      <c r="D119" s="7" t="s">
        <v>2</v>
      </c>
      <c r="E119" s="6" t="str">
        <f>SUBSTITUTE(C119,"a","f",1)</f>
        <v>DftaAnalytics</v>
      </c>
    </row>
    <row r="120" spans="1:5" ht="15" thickBot="1">
      <c r="A120" s="5"/>
      <c r="B120" s="4"/>
      <c r="C120" s="3" t="s">
        <v>1</v>
      </c>
      <c r="D120" s="2" t="s">
        <v>0</v>
      </c>
      <c r="E120" s="1" t="str">
        <f>SUBSTITUTE(C120,"a","f",8)</f>
        <v>DataAnalytics</v>
      </c>
    </row>
  </sheetData>
  <mergeCells count="53">
    <mergeCell ref="A116:A120"/>
    <mergeCell ref="A61:A66"/>
    <mergeCell ref="A67:A72"/>
    <mergeCell ref="A73:A78"/>
    <mergeCell ref="A79:A84"/>
    <mergeCell ref="A85:A90"/>
    <mergeCell ref="B110:B115"/>
    <mergeCell ref="B116:B120"/>
    <mergeCell ref="B97:B103"/>
    <mergeCell ref="B104:B109"/>
    <mergeCell ref="A13:A18"/>
    <mergeCell ref="B13:B18"/>
    <mergeCell ref="B19:B24"/>
    <mergeCell ref="B61:B66"/>
    <mergeCell ref="A104:A109"/>
    <mergeCell ref="A110:A115"/>
    <mergeCell ref="A91:A96"/>
    <mergeCell ref="A97:A103"/>
    <mergeCell ref="B67:B72"/>
    <mergeCell ref="B73:B78"/>
    <mergeCell ref="B79:B84"/>
    <mergeCell ref="B85:B90"/>
    <mergeCell ref="B91:B96"/>
    <mergeCell ref="A55:A60"/>
    <mergeCell ref="B25:B30"/>
    <mergeCell ref="B31:B36"/>
    <mergeCell ref="B37:B42"/>
    <mergeCell ref="B43:B48"/>
    <mergeCell ref="B49:B54"/>
    <mergeCell ref="B55:B60"/>
    <mergeCell ref="A19:A24"/>
    <mergeCell ref="A25:A30"/>
    <mergeCell ref="A31:A36"/>
    <mergeCell ref="A37:A42"/>
    <mergeCell ref="A43:A48"/>
    <mergeCell ref="A49:A54"/>
    <mergeCell ref="B3:B12"/>
    <mergeCell ref="A3:A12"/>
    <mergeCell ref="D5:D6"/>
    <mergeCell ref="E5:E6"/>
    <mergeCell ref="D7:D8"/>
    <mergeCell ref="E7:E8"/>
    <mergeCell ref="D9:D10"/>
    <mergeCell ref="E9:E10"/>
    <mergeCell ref="D11:D12"/>
    <mergeCell ref="E11:E12"/>
    <mergeCell ref="A1:A2"/>
    <mergeCell ref="B1:B2"/>
    <mergeCell ref="C1:C2"/>
    <mergeCell ref="D1:D2"/>
    <mergeCell ref="E1:E2"/>
    <mergeCell ref="D3:D4"/>
    <mergeCell ref="E3:E4"/>
  </mergeCells>
  <hyperlinks>
    <hyperlink ref="A1" r:id="rId1" xr:uid="{A3CE7924-C1C2-40EF-AAD0-A2980E3C04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Tansvi_Task1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nagalwade</dc:creator>
  <cp:lastModifiedBy>tanvi nagalwade</cp:lastModifiedBy>
  <dcterms:created xsi:type="dcterms:W3CDTF">2026-03-14T10:07:56Z</dcterms:created>
  <dcterms:modified xsi:type="dcterms:W3CDTF">2026-03-14T10:11:18Z</dcterms:modified>
</cp:coreProperties>
</file>